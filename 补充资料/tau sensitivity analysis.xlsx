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6bb39b0816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结果" sheetId="1" r:id="R3c89e89644114193"/>
    <x:sheet xmlns:r="http://schemas.openxmlformats.org/officeDocument/2006/relationships" name="敏感性分析" sheetId="2" r:id="R548ba0f37aab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"/>
    <x:numFmt numFmtId="201" formatCode="#,##0.00"/>
    <x:numFmt numFmtId="202" formatCode="0.0000"/>
    <x:numFmt numFmtId="203" formatCode="0"/>
  </x:numFmts>
  <x:fonts count="8">
    <x:font>
      <x:sz val="11"/>
      <x:name val="Carlito"/>
    </x:font>
    <x:font>
      <x:b/>
      <x:sz val="15"/>
      <x:color rgb="FFFFFFFF"/>
      <x:name val="Times New Roman"/>
    </x:font>
    <x:font>
      <x:i/>
      <x:sz val="10"/>
      <x:color rgb="FF404040"/>
      <x:name val="Times New Roman"/>
    </x:font>
    <x:font>
      <x:b/>
      <x:sz val="10"/>
      <x:color rgb="FF17365D"/>
      <x:name val="Times New Roman"/>
    </x:font>
    <x:font>
      <x:sz val="10"/>
      <x:color rgb="FF000000"/>
      <x:name val="Times New Roman"/>
    </x:font>
    <x:font>
      <x:b/>
      <x:sz val="16"/>
      <x:color rgb="FFFFFFFF"/>
      <x:name val="Times New Roman"/>
    </x:font>
    <x:font>
      <x:sz val="10"/>
      <x:name val="Times New Roman"/>
    </x:font>
    <x:font>
      <x:b/>
      <x:sz val="10"/>
      <x:color rgb="FFFFFFFF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6FA"/>
      </x:patternFill>
    </x:fill>
  </x:fills>
  <x:borders count="8">
    <x:border/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4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4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6" fillId="0" borderId="4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4" borderId="5" xfId="0" applyNumberFormat="1" applyFont="1" applyFill="1" applyBorder="1"/>
    <x:xf numFmtId="200" fontId="6" fillId="0" borderId="4" xfId="0" applyNumberFormat="1" applyFont="1" applyFill="1" applyBorder="1"/>
    <x:xf numFmtId="200" fontId="6" fillId="0" borderId="5" xfId="0" applyNumberFormat="1" applyFont="1" applyFill="1" applyBorder="1"/>
    <x:xf numFmtId="200" fontId="6" fillId="4" borderId="5" xfId="0" applyNumberFormat="1" applyFont="1" applyFill="1" applyBorder="1"/>
    <x:xf numFmtId="200" fontId="6" fillId="0" borderId="6" xfId="0" applyNumberFormat="1" applyFont="1" applyFill="1" applyBorder="1"/>
    <x:xf numFmtId="202" fontId="6" fillId="0" borderId="4" xfId="0" applyNumberFormat="1" applyFont="1" applyFill="1" applyBorder="1"/>
    <x:xf numFmtId="202" fontId="6" fillId="0" borderId="5" xfId="0" applyNumberFormat="1" applyFont="1" applyFill="1" applyBorder="1"/>
    <x:xf numFmtId="202" fontId="6" fillId="4" borderId="5" xfId="0" applyNumberFormat="1" applyFont="1" applyFill="1" applyBorder="1"/>
    <x:xf numFmtId="202" fontId="6" fillId="0" borderId="6" xfId="0" applyNumberFormat="1" applyFont="1" applyFill="1" applyBorder="1"/>
    <x:xf numFmtId="201" fontId="6" fillId="0" borderId="4" xfId="0" applyNumberFormat="1" applyFont="1" applyFill="1" applyBorder="1"/>
    <x:xf numFmtId="201" fontId="6" fillId="0" borderId="5" xfId="0" applyNumberFormat="1" applyFont="1" applyFill="1" applyBorder="1"/>
    <x:xf numFmtId="201" fontId="6" fillId="4" borderId="5" xfId="0" applyNumberFormat="1" applyFont="1" applyFill="1" applyBorder="1"/>
    <x:xf numFmtId="201" fontId="6" fillId="0" borderId="6" xfId="0" applyNumberFormat="1" applyFont="1" applyFill="1" applyBorder="1"/>
    <x:xf numFmtId="0" fontId="6" fillId="4" borderId="0" xfId="0" applyNumberFormat="1" applyFont="1" applyFill="1" applyBorder="1"/>
    <x:xf numFmtId="200" fontId="6" fillId="0" borderId="0" xfId="0" applyNumberFormat="1" applyFont="1" applyFill="1" applyBorder="1"/>
    <x:xf numFmtId="200" fontId="6" fillId="4" borderId="0" xfId="0" applyNumberFormat="1" applyFont="1" applyFill="1" applyBorder="1"/>
    <x:xf numFmtId="202" fontId="6" fillId="0" borderId="0" xfId="0" applyNumberFormat="1" applyFont="1" applyFill="1" applyBorder="1"/>
    <x:xf numFmtId="202" fontId="6" fillId="4" borderId="0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7" xfId="0" applyNumberFormat="1" applyFont="1" applyFill="1" applyBorder="1"/>
    <x:xf numFmtId="202" fontId="6" fillId="5" borderId="7" xfId="0" applyNumberFormat="1" applyFont="1" applyFill="1" applyBorder="1"/>
    <x:xf numFmtId="200" fontId="6" fillId="5" borderId="7" xfId="0" applyNumberFormat="1" applyFont="1" applyFill="1" applyBorder="1"/>
    <x:xf numFmtId="201" fontId="6" fillId="5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95c2c0d9784e0b" /><Relationship Type="http://schemas.openxmlformats.org/officeDocument/2006/relationships/theme" Target="/xl/theme/theme1.xml" Id="Ra31bd107e7bc4290" /><Relationship Type="http://schemas.openxmlformats.org/officeDocument/2006/relationships/sharedStrings" Target="/xl/sharedStrings.xml" Id="R02b82fb067ce46ad" /><Relationship Type="http://schemas.openxmlformats.org/officeDocument/2006/relationships/worksheet" Target="/xl/worksheets/sheet1.xml" Id="R3c89e89644114193" /><Relationship Type="http://schemas.openxmlformats.org/officeDocument/2006/relationships/worksheet" Target="/xl/worksheets/sheet2.xml" Id="R548ba0f37aab4d4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e0717be1de54f85" /><Relationship Type="http://schemas.openxmlformats.org/officeDocument/2006/relationships/chart" Target="/xl/drawings/charts/chart2.xml" Id="R41634598d3ec4b1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R² sensitivity to τ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R²</c:v>
          </c:tx>
          <c:spPr>
            <a:solidFill xmlns:a="http://schemas.openxmlformats.org/drawingml/2006/main">
              <a:srgbClr val="2F75B5"/>
            </a:solidFill>
          </c:spPr>
          <c:marker>
            <c:symbol val="none"/>
          </c:marker>
          <c:cat>
            <c:strRef>
              <c:f>'敏感性分析'!$A$10:$A$16</c:f>
              <c:strCache>
                <c:ptCount val="0"/>
              </c:strCache>
            </c:strRef>
          </c:cat>
          <c:val>
            <c:numRef>
              <c:f>'敏感性分析'!$B$10:$B$16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2"/>
          <c:min val="0.7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R²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UR sensitivity to τ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UR (%)</c:v>
          </c:tx>
          <c:spPr>
            <a:solidFill xmlns:a="http://schemas.openxmlformats.org/drawingml/2006/main">
              <a:srgbClr val="C00000"/>
            </a:solidFill>
          </c:spPr>
          <c:marker>
            <c:symbol val="none"/>
          </c:marker>
          <c:cat>
            <c:strRef>
              <c:f>'敏感性分析'!$A$10:$A$16</c:f>
              <c:strCache>
                <c:ptCount val="0"/>
              </c:strCache>
            </c:strRef>
          </c:cat>
          <c:val>
            <c:numRef>
              <c:f>'敏感性分析'!$G$10:$G$16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τ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0"/>
          <c:min val="3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UR (%)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7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e0717be1de54f85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634598d3ec4b1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aca5719e0b74f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  <x:col min="8" max="8" width="11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18" hidden="0" customHeight="1">
      <x:c r="A1" s="4" t="str">
        <x:v>GA–BP非对称参数τ敏感性分析：完整结果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15" hidden="0" customHeight="1">
      <x:c r="A2" s="6" t="str">
        <x:v>44折LOOCV；随机种子53；仅改变τ，其余网络、GA、BP训练及正值约束保持不变。造价单位：10⁴ CNY。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3" ht="15" hidden="0" customHeight="1">
      <x:c r="A3" s="18" t="str">
        <x:v>τ</x:v>
      </x:c>
      <x:c r="B3" s="19" t="str">
        <x:v>低估/高估惩罚比</x:v>
      </x:c>
      <x:c r="C3" s="19" t="str">
        <x:v>RMSE</x:v>
      </x:c>
      <x:c r="D3" s="19" t="str">
        <x:v>MAE</x:v>
      </x:c>
      <x:c r="E3" s="19" t="str">
        <x:v>MedAE</x:v>
      </x:c>
      <x:c r="F3" s="19" t="str">
        <x:v>R²</x:v>
      </x:c>
      <x:c r="G3" s="19" t="str">
        <x:v>EVS</x:v>
      </x:c>
      <x:c r="H3" s="19" t="str">
        <x:v>MAPE (%)</x:v>
      </x:c>
      <x:c r="I3" s="19" t="str">
        <x:v>UR (%)</x:v>
      </x:c>
      <x:c r="J3" s="19" t="str">
        <x:v>低估项目数</x:v>
      </x:c>
      <x:c r="K3" s="19" t="str">
        <x:v>低估幅度合计</x:v>
      </x:c>
      <x:c r="L3" s="19" t="str">
        <x:v>平均低估幅度</x:v>
      </x:c>
      <x:c r="M3" s="19" t="str">
        <x:v>最大低估幅度</x:v>
      </x:c>
      <x:c r="N3" s="20" t="str">
        <x:v>正值下限触发数</x:v>
      </x:c>
    </x:row>
    <x:row r="4" ht="15" hidden="0" customHeight="1">
      <x:c r="A4" s="29" t="n">
        <x:v>0.1</x:v>
      </x:c>
      <x:c r="B4" s="29" t="n">
        <x:v>9</x:v>
      </x:c>
      <x:c r="C4" s="33" t="n">
        <x:v>835.01123</x:v>
      </x:c>
      <x:c r="D4" s="33" t="n">
        <x:v>502.031814</x:v>
      </x:c>
      <x:c r="E4" s="33" t="n">
        <x:v>279.872836</x:v>
      </x:c>
      <x:c r="F4" s="37" t="n">
        <x:v>0.765438234</x:v>
      </x:c>
      <x:c r="G4" s="37" t="n">
        <x:v>0.769982609</x:v>
      </x:c>
      <x:c r="H4" s="29" t="n">
        <x:v>56.004823</x:v>
      </x:c>
      <x:c r="I4" s="29" t="n">
        <x:v>36.363636</x:v>
      </x:c>
      <x:c r="J4" s="41" t="n">
        <x:v>16</x:v>
      </x:c>
      <x:c r="K4" s="33" t="n">
        <x:v>8487.742632</x:v>
      </x:c>
      <x:c r="L4" s="33" t="n">
        <x:v>530.483915</x:v>
      </x:c>
      <x:c r="M4" s="33" t="n">
        <x:v>2774.993676</x:v>
      </x:c>
      <x:c r="N4" s="41" t="n">
        <x:v>0</x:v>
      </x:c>
    </x:row>
    <x:row r="5" ht="15" hidden="0" customHeight="1">
      <x:c r="A5" s="30" t="n">
        <x:v>0.15</x:v>
      </x:c>
      <x:c r="B5" s="30" t="n">
        <x:v>5.666667</x:v>
      </x:c>
      <x:c r="C5" s="34" t="n">
        <x:v>764.852945</x:v>
      </x:c>
      <x:c r="D5" s="34" t="n">
        <x:v>472.978025</x:v>
      </x:c>
      <x:c r="E5" s="34" t="n">
        <x:v>325.851197</x:v>
      </x:c>
      <x:c r="F5" s="38" t="n">
        <x:v>0.803198467</x:v>
      </x:c>
      <x:c r="G5" s="38" t="n">
        <x:v>0.803392074</x:v>
      </x:c>
      <x:c r="H5" s="30" t="n">
        <x:v>46.76721</x:v>
      </x:c>
      <x:c r="I5" s="30" t="n">
        <x:v>47.727273</x:v>
      </x:c>
      <x:c r="J5" s="42" t="n">
        <x:v>21</x:v>
      </x:c>
      <x:c r="K5" s="34" t="n">
        <x:v>9877.743463</x:v>
      </x:c>
      <x:c r="L5" s="34" t="n">
        <x:v>470.368736</x:v>
      </x:c>
      <x:c r="M5" s="34" t="n">
        <x:v>2847.494877</x:v>
      </x:c>
      <x:c r="N5" s="42" t="n">
        <x:v>0</x:v>
      </x:c>
    </x:row>
    <x:row r="6" ht="15" hidden="0" customHeight="1">
      <x:c r="A6" s="31" t="n">
        <x:v>0.2</x:v>
      </x:c>
      <x:c r="B6" s="31" t="n">
        <x:v>4</x:v>
      </x:c>
      <x:c r="C6" s="35" t="n">
        <x:v>779.733252</x:v>
      </x:c>
      <x:c r="D6" s="35" t="n">
        <x:v>482.441048</x:v>
      </x:c>
      <x:c r="E6" s="35" t="n">
        <x:v>260.917625</x:v>
      </x:c>
      <x:c r="F6" s="39" t="n">
        <x:v>0.795466382</x:v>
      </x:c>
      <x:c r="G6" s="39" t="n">
        <x:v>0.795889554</x:v>
      </x:c>
      <x:c r="H6" s="31" t="n">
        <x:v>52.918944</x:v>
      </x:c>
      <x:c r="I6" s="31" t="n">
        <x:v>40.909091</x:v>
      </x:c>
      <x:c r="J6" s="43" t="n">
        <x:v>18</x:v>
      </x:c>
      <x:c r="K6" s="35" t="n">
        <x:v>9833.432954</x:v>
      </x:c>
      <x:c r="L6" s="35" t="n">
        <x:v>546.301831</x:v>
      </x:c>
      <x:c r="M6" s="35" t="n">
        <x:v>2713.677106</x:v>
      </x:c>
      <x:c r="N6" s="43" t="n">
        <x:v>0</x:v>
      </x:c>
    </x:row>
    <x:row r="7" ht="15" hidden="0" customHeight="1">
      <x:c r="A7" s="30" t="n">
        <x:v>0.25</x:v>
      </x:c>
      <x:c r="B7" s="30" t="n">
        <x:v>3</x:v>
      </x:c>
      <x:c r="C7" s="34" t="n">
        <x:v>881.057686</x:v>
      </x:c>
      <x:c r="D7" s="34" t="n">
        <x:v>540.940819</x:v>
      </x:c>
      <x:c r="E7" s="34" t="n">
        <x:v>248.000511</x:v>
      </x:c>
      <x:c r="F7" s="38" t="n">
        <x:v>0.738855262</x:v>
      </x:c>
      <x:c r="G7" s="38" t="n">
        <x:v>0.738857926</x:v>
      </x:c>
      <x:c r="H7" s="30" t="n">
        <x:v>54.854245</x:v>
      </x:c>
      <x:c r="I7" s="30" t="n">
        <x:v>45.454545</x:v>
      </x:c>
      <x:c r="J7" s="42" t="n">
        <x:v>20</x:v>
      </x:c>
      <x:c r="K7" s="34" t="n">
        <x:v>11962.601125</x:v>
      </x:c>
      <x:c r="L7" s="34" t="n">
        <x:v>598.130056</x:v>
      </x:c>
      <x:c r="M7" s="34" t="n">
        <x:v>2740.854884</x:v>
      </x:c>
      <x:c r="N7" s="42" t="n">
        <x:v>0</x:v>
      </x:c>
    </x:row>
    <x:row r="8" ht="15" hidden="0" customHeight="1">
      <x:c r="A8" s="30" t="n">
        <x:v>0.3</x:v>
      </x:c>
      <x:c r="B8" s="30" t="n">
        <x:v>2.333333</x:v>
      </x:c>
      <x:c r="C8" s="34" t="n">
        <x:v>846.067745</x:v>
      </x:c>
      <x:c r="D8" s="34" t="n">
        <x:v>528.94817</x:v>
      </x:c>
      <x:c r="E8" s="34" t="n">
        <x:v>304.74569</x:v>
      </x:c>
      <x:c r="F8" s="38" t="n">
        <x:v>0.75918537</x:v>
      </x:c>
      <x:c r="G8" s="38" t="n">
        <x:v>0.759869891</x:v>
      </x:c>
      <x:c r="H8" s="30" t="n">
        <x:v>50.133354</x:v>
      </x:c>
      <x:c r="I8" s="30" t="n">
        <x:v>45.454545</x:v>
      </x:c>
      <x:c r="J8" s="42" t="n">
        <x:v>20</x:v>
      </x:c>
      <x:c r="K8" s="34" t="n">
        <x:v>10644.475379</x:v>
      </x:c>
      <x:c r="L8" s="34" t="n">
        <x:v>532.223769</x:v>
      </x:c>
      <x:c r="M8" s="34" t="n">
        <x:v>2946.966887</x:v>
      </x:c>
      <x:c r="N8" s="42" t="n">
        <x:v>0</x:v>
      </x:c>
    </x:row>
    <x:row r="9" ht="15" hidden="0" customHeight="1">
      <x:c r="A9" s="30" t="n">
        <x:v>0.4</x:v>
      </x:c>
      <x:c r="B9" s="30" t="n">
        <x:v>1.5</x:v>
      </x:c>
      <x:c r="C9" s="34" t="n">
        <x:v>913.892423</x:v>
      </x:c>
      <x:c r="D9" s="34" t="n">
        <x:v>555.760017</x:v>
      </x:c>
      <x:c r="E9" s="34" t="n">
        <x:v>245.46048</x:v>
      </x:c>
      <x:c r="F9" s="38" t="n">
        <x:v>0.719028193</x:v>
      </x:c>
      <x:c r="G9" s="38" t="n">
        <x:v>0.719674996</x:v>
      </x:c>
      <x:c r="H9" s="30" t="n">
        <x:v>52.868835</x:v>
      </x:c>
      <x:c r="I9" s="30" t="n">
        <x:v>43.181818</x:v>
      </x:c>
      <x:c r="J9" s="42" t="n">
        <x:v>19</x:v>
      </x:c>
      <x:c r="K9" s="34" t="n">
        <x:v>11262.064922</x:v>
      </x:c>
      <x:c r="L9" s="34" t="n">
        <x:v>592.740259</x:v>
      </x:c>
      <x:c r="M9" s="34" t="n">
        <x:v>2553.330204</x:v>
      </x:c>
      <x:c r="N9" s="42" t="n">
        <x:v>0</x:v>
      </x:c>
    </x:row>
    <x:row r="10" ht="15" hidden="0" customHeight="1">
      <x:c r="A10" s="32" t="n">
        <x:v>0.5</x:v>
      </x:c>
      <x:c r="B10" s="32" t="n">
        <x:v>1</x:v>
      </x:c>
      <x:c r="C10" s="36" t="n">
        <x:v>832.275721</x:v>
      </x:c>
      <x:c r="D10" s="36" t="n">
        <x:v>497.307851</x:v>
      </x:c>
      <x:c r="E10" s="36" t="n">
        <x:v>272.30319</x:v>
      </x:c>
      <x:c r="F10" s="40" t="n">
        <x:v>0.766972572</x:v>
      </x:c>
      <x:c r="G10" s="40" t="n">
        <x:v>0.767448827</x:v>
      </x:c>
      <x:c r="H10" s="32" t="n">
        <x:v>60.206537</x:v>
      </x:c>
      <x:c r="I10" s="32" t="n">
        <x:v>43.181818</x:v>
      </x:c>
      <x:c r="J10" s="44" t="n">
        <x:v>19</x:v>
      </x:c>
      <x:c r="K10" s="36" t="n">
        <x:v>10113.009029</x:v>
      </x:c>
      <x:c r="L10" s="36" t="n">
        <x:v>532.263633</x:v>
      </x:c>
      <x:c r="M10" s="36" t="n">
        <x:v>2323.660698</x:v>
      </x:c>
      <x:c r="N10" s="44" t="n">
        <x:v>0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11.880000114440918" hidden="0" customWidth="1"/>
    <x:col min="4" max="4" width="11" hidden="0" customWidth="1"/>
    <x:col min="5" max="5" width="12.880000114440918" hidden="0" customWidth="1"/>
    <x:col min="6" max="6" width="22" hidden="0" customWidth="1"/>
    <x:col min="7" max="7" width="6.130000114440918" hidden="0" customWidth="1"/>
    <x:col min="8" max="8" width="18" hidden="0" customWidth="1"/>
  </x:cols>
  <x:sheetData>
    <x:row r="1" ht="19.200000762939453" hidden="0" customHeight="1">
      <x:c r="A1" s="46" t="str">
        <x:v>τ敏感性分析汇总</x:v>
      </x:c>
      <x:c r="B1" s="46"/>
      <x:c r="C1" s="46"/>
      <x:c r="D1" s="46"/>
      <x:c r="E1" s="46"/>
      <x:c r="F1" s="46"/>
      <x:c r="G1" s="46"/>
      <x:c r="H1" s="46"/>
    </x:row>
    <x:row r="2">
      <x:c r="J2" s="72" t="str">
        <x:v>评价目标</x:v>
      </x:c>
      <x:c r="K2" s="72" t="str">
        <x:v>最优值</x:v>
      </x:c>
      <x:c r="L2" s="72" t="str">
        <x:v>对应τ</x:v>
      </x:c>
    </x:row>
    <x:row r="3" ht="15" hidden="0" customHeight="1">
      <x:c r="A3" s="8" t="str">
        <x:v>实验设置</x:v>
      </x:c>
      <x:c r="B3" s="8" t="str">
        <x:v>固定值</x:v>
      </x:c>
      <x:c r="J3" s="75" t="str">
        <x:v>最高R²</x:v>
      </x:c>
      <x:c r="K3" s="76" t="n">
        <x:f>MAX(B10:B16)</x:f>
        <x:v>0.803198467</x:v>
      </x:c>
      <x:c r="L3" s="77" t="n">
        <x:f>INDEX(A10:A16,MATCH(K3,B10:B16,0))</x:f>
        <x:v>0.15</x:v>
      </x:c>
    </x:row>
    <x:row r="4" ht="15" hidden="0" customHeight="1">
      <x:c r="A4" s="47" t="str">
        <x:v>验证方法</x:v>
      </x:c>
      <x:c r="B4" s="47" t="str">
        <x:v>44折LOOCV</x:v>
      </x:c>
      <x:c r="J4" s="75" t="str">
        <x:v>最低UR</x:v>
      </x:c>
      <x:c r="K4" s="77" t="n">
        <x:f>MIN(G10:G16)</x:f>
        <x:v>36.363636</x:v>
      </x:c>
      <x:c r="L4" s="77" t="n">
        <x:f>INDEX(A10:A16,MATCH(K4,G10:G16,0))</x:f>
        <x:v>0.1</x:v>
      </x:c>
    </x:row>
    <x:row r="5" ht="15" hidden="0" customHeight="1">
      <x:c r="A5" s="47" t="str">
        <x:v>随机种子</x:v>
      </x:c>
      <x:c r="B5" s="47" t="n">
        <x:v>53</x:v>
      </x:c>
      <x:c r="J5" s="75" t="str">
        <x:v>最低低估幅度合计</x:v>
      </x:c>
      <x:c r="K5" s="78" t="n">
        <x:f>MIN(H10:H16)</x:f>
        <x:v>8487.742632</x:v>
      </x:c>
      <x:c r="L5" s="77" t="n">
        <x:f>INDEX(A10:A16,MATCH(K5,H10:H16,0))</x:f>
        <x:v>0.1</x:v>
      </x:c>
    </x:row>
    <x:row r="6" ht="15" hidden="0" customHeight="1">
      <x:c r="A6" s="47" t="str">
        <x:v>正值约束</x:v>
      </x:c>
      <x:c r="B6" s="47" t="str">
        <x:v>max(prediction, 10⁻⁶)</x:v>
      </x:c>
    </x:row>
    <x:row r="7" ht="15" hidden="0" customHeight="1">
      <x:c r="A7" s="47" t="str">
        <x:v>基准参数</x:v>
      </x:c>
      <x:c r="B7" s="47" t="str">
        <x:v>τ = 0.20</x:v>
      </x:c>
    </x:row>
    <x:row r="8"/>
    <x:row r="9" ht="15" hidden="0" customHeight="1">
      <x:c r="A9" s="49" t="str">
        <x:v>τ</x:v>
      </x:c>
      <x:c r="B9" s="49" t="str">
        <x:v>R²</x:v>
      </x:c>
      <x:c r="C9" s="49" t="str">
        <x:v>RMSE</x:v>
      </x:c>
      <x:c r="D9" s="49" t="str">
        <x:v>MAE</x:v>
      </x:c>
      <x:c r="E9" s="49" t="str">
        <x:v>MedAE</x:v>
      </x:c>
      <x:c r="F9" s="49" t="str">
        <x:v>MAPE (%)</x:v>
      </x:c>
      <x:c r="G9" s="49" t="str">
        <x:v>UR (%)</x:v>
      </x:c>
      <x:c r="H9" s="49" t="str">
        <x:v>低估幅度合计</x:v>
      </x:c>
    </x:row>
    <x:row r="10" ht="15" hidden="0" customHeight="1">
      <x:c r="A10" s="54" t="n">
        <x:f>'完整结果'!A4</x:f>
        <x:v>0.1</x:v>
      </x:c>
      <x:c r="B10" s="58" t="n">
        <x:f>'完整结果'!F4</x:f>
        <x:v>0.765438234</x:v>
      </x:c>
      <x:c r="C10" s="62" t="n">
        <x:f>'完整结果'!C4</x:f>
        <x:v>835.01123</x:v>
      </x:c>
      <x:c r="D10" s="62" t="n">
        <x:f>'完整结果'!D4</x:f>
        <x:v>502.031814</x:v>
      </x:c>
      <x:c r="E10" s="62" t="n">
        <x:f>'完整结果'!E4</x:f>
        <x:v>279.872836</x:v>
      </x:c>
      <x:c r="F10" s="54" t="n">
        <x:f>'完整结果'!H4</x:f>
        <x:v>56.004823</x:v>
      </x:c>
      <x:c r="G10" s="54" t="n">
        <x:f>'完整结果'!I4</x:f>
        <x:v>36.363636</x:v>
      </x:c>
      <x:c r="H10" s="62" t="n">
        <x:f>'完整结果'!K4</x:f>
        <x:v>8487.742632</x:v>
      </x:c>
    </x:row>
    <x:row r="11" ht="15" hidden="0" customHeight="1">
      <x:c r="A11" s="55" t="n">
        <x:f>'完整结果'!A5</x:f>
        <x:v>0.15</x:v>
      </x:c>
      <x:c r="B11" s="59" t="n">
        <x:f>'完整结果'!F5</x:f>
        <x:v>0.803198467</x:v>
      </x:c>
      <x:c r="C11" s="63" t="n">
        <x:f>'完整结果'!C5</x:f>
        <x:v>764.852945</x:v>
      </x:c>
      <x:c r="D11" s="63" t="n">
        <x:f>'完整结果'!D5</x:f>
        <x:v>472.978025</x:v>
      </x:c>
      <x:c r="E11" s="63" t="n">
        <x:f>'完整结果'!E5</x:f>
        <x:v>325.851197</x:v>
      </x:c>
      <x:c r="F11" s="55" t="n">
        <x:f>'完整结果'!H5</x:f>
        <x:v>46.76721</x:v>
      </x:c>
      <x:c r="G11" s="55" t="n">
        <x:f>'完整结果'!I5</x:f>
        <x:v>47.727273</x:v>
      </x:c>
      <x:c r="H11" s="63" t="n">
        <x:f>'完整结果'!K5</x:f>
        <x:v>9877.743463</x:v>
      </x:c>
    </x:row>
    <x:row r="12" ht="15" hidden="0" customHeight="1">
      <x:c r="A12" s="56" t="n">
        <x:f>'完整结果'!A6</x:f>
        <x:v>0.2</x:v>
      </x:c>
      <x:c r="B12" s="60" t="n">
        <x:f>'完整结果'!F6</x:f>
        <x:v>0.795466382</x:v>
      </x:c>
      <x:c r="C12" s="64" t="n">
        <x:f>'完整结果'!C6</x:f>
        <x:v>779.733252</x:v>
      </x:c>
      <x:c r="D12" s="64" t="n">
        <x:f>'完整结果'!D6</x:f>
        <x:v>482.441048</x:v>
      </x:c>
      <x:c r="E12" s="64" t="n">
        <x:f>'完整结果'!E6</x:f>
        <x:v>260.917625</x:v>
      </x:c>
      <x:c r="F12" s="56" t="n">
        <x:f>'完整结果'!H6</x:f>
        <x:v>52.918944</x:v>
      </x:c>
      <x:c r="G12" s="56" t="n">
        <x:f>'完整结果'!I6</x:f>
        <x:v>40.909091</x:v>
      </x:c>
      <x:c r="H12" s="64" t="n">
        <x:f>'完整结果'!K6</x:f>
        <x:v>9833.432954</x:v>
      </x:c>
    </x:row>
    <x:row r="13" ht="15" hidden="0" customHeight="1">
      <x:c r="A13" s="55" t="n">
        <x:f>'完整结果'!A7</x:f>
        <x:v>0.25</x:v>
      </x:c>
      <x:c r="B13" s="59" t="n">
        <x:f>'完整结果'!F7</x:f>
        <x:v>0.738855262</x:v>
      </x:c>
      <x:c r="C13" s="63" t="n">
        <x:f>'完整结果'!C7</x:f>
        <x:v>881.057686</x:v>
      </x:c>
      <x:c r="D13" s="63" t="n">
        <x:f>'完整结果'!D7</x:f>
        <x:v>540.940819</x:v>
      </x:c>
      <x:c r="E13" s="63" t="n">
        <x:f>'完整结果'!E7</x:f>
        <x:v>248.000511</x:v>
      </x:c>
      <x:c r="F13" s="55" t="n">
        <x:f>'完整结果'!H7</x:f>
        <x:v>54.854245</x:v>
      </x:c>
      <x:c r="G13" s="55" t="n">
        <x:f>'完整结果'!I7</x:f>
        <x:v>45.454545</x:v>
      </x:c>
      <x:c r="H13" s="63" t="n">
        <x:f>'完整结果'!K7</x:f>
        <x:v>11962.601125</x:v>
      </x:c>
    </x:row>
    <x:row r="14" ht="15" hidden="0" customHeight="1">
      <x:c r="A14" s="55" t="n">
        <x:f>'完整结果'!A8</x:f>
        <x:v>0.3</x:v>
      </x:c>
      <x:c r="B14" s="59" t="n">
        <x:f>'完整结果'!F8</x:f>
        <x:v>0.75918537</x:v>
      </x:c>
      <x:c r="C14" s="63" t="n">
        <x:f>'完整结果'!C8</x:f>
        <x:v>846.067745</x:v>
      </x:c>
      <x:c r="D14" s="63" t="n">
        <x:f>'完整结果'!D8</x:f>
        <x:v>528.94817</x:v>
      </x:c>
      <x:c r="E14" s="63" t="n">
        <x:f>'完整结果'!E8</x:f>
        <x:v>304.74569</x:v>
      </x:c>
      <x:c r="F14" s="55" t="n">
        <x:f>'完整结果'!H8</x:f>
        <x:v>50.133354</x:v>
      </x:c>
      <x:c r="G14" s="55" t="n">
        <x:f>'完整结果'!I8</x:f>
        <x:v>45.454545</x:v>
      </x:c>
      <x:c r="H14" s="63" t="n">
        <x:f>'完整结果'!K8</x:f>
        <x:v>10644.475379</x:v>
      </x:c>
    </x:row>
    <x:row r="15" ht="15" hidden="0" customHeight="1">
      <x:c r="A15" s="55" t="n">
        <x:f>'完整结果'!A9</x:f>
        <x:v>0.4</x:v>
      </x:c>
      <x:c r="B15" s="59" t="n">
        <x:f>'完整结果'!F9</x:f>
        <x:v>0.719028193</x:v>
      </x:c>
      <x:c r="C15" s="63" t="n">
        <x:f>'完整结果'!C9</x:f>
        <x:v>913.892423</x:v>
      </x:c>
      <x:c r="D15" s="63" t="n">
        <x:f>'完整结果'!D9</x:f>
        <x:v>555.760017</x:v>
      </x:c>
      <x:c r="E15" s="63" t="n">
        <x:f>'完整结果'!E9</x:f>
        <x:v>245.46048</x:v>
      </x:c>
      <x:c r="F15" s="55" t="n">
        <x:f>'完整结果'!H9</x:f>
        <x:v>52.868835</x:v>
      </x:c>
      <x:c r="G15" s="55" t="n">
        <x:f>'完整结果'!I9</x:f>
        <x:v>43.181818</x:v>
      </x:c>
      <x:c r="H15" s="63" t="n">
        <x:f>'完整结果'!K9</x:f>
        <x:v>11262.064922</x:v>
      </x:c>
    </x:row>
    <x:row r="16" ht="15" hidden="0" customHeight="1">
      <x:c r="A16" s="57" t="n">
        <x:f>'完整结果'!A10</x:f>
        <x:v>0.5</x:v>
      </x:c>
      <x:c r="B16" s="61" t="n">
        <x:f>'完整结果'!F10</x:f>
        <x:v>0.766972572</x:v>
      </x:c>
      <x:c r="C16" s="65" t="n">
        <x:f>'完整结果'!C10</x:f>
        <x:v>832.275721</x:v>
      </x:c>
      <x:c r="D16" s="65" t="n">
        <x:f>'完整结果'!D10</x:f>
        <x:v>497.307851</x:v>
      </x:c>
      <x:c r="E16" s="65" t="n">
        <x:f>'完整结果'!E10</x:f>
        <x:v>272.30319</x:v>
      </x:c>
      <x:c r="F16" s="57" t="n">
        <x:f>'完整结果'!H10</x:f>
        <x:v>60.206537</x:v>
      </x:c>
      <x:c r="G16" s="57" t="n">
        <x:f>'完整结果'!I10</x:f>
        <x:v>43.181818</x:v>
      </x:c>
      <x:c r="H16" s="65" t="n">
        <x:f>'完整结果'!K10</x:f>
        <x:v>10113.009029</x:v>
      </x:c>
    </x:row>
    <x:row r="17"/>
    <x:row r="18"/>
    <x:row r="19" ht="15" hidden="0" customHeight="1">
      <x:c r="A19" s="49" t="str">
        <x:v>τ</x:v>
      </x:c>
      <x:c r="B19" s="49" t="str">
        <x:v>ΔR²</x:v>
      </x:c>
      <x:c r="C19" s="49" t="str">
        <x:v>RMSE变化 (%)</x:v>
      </x:c>
      <x:c r="D19" s="49" t="str">
        <x:v>MAE变化 (%)</x:v>
      </x:c>
      <x:c r="E19" s="49" t="str">
        <x:v>UR变化 (百分点)</x:v>
      </x:c>
      <x:c r="F19" s="49" t="str">
        <x:v>低估幅度合计变化 (%)</x:v>
      </x:c>
    </x:row>
    <x:row r="20" ht="15" hidden="0" customHeight="1">
      <x:c r="A20" s="67" t="n">
        <x:f>A10</x:f>
        <x:v>0.1</x:v>
      </x:c>
      <x:c r="B20" s="69" t="n">
        <x:f>B10-$B$12</x:f>
        <x:v>-0.030028147999999977</x:v>
      </x:c>
      <x:c r="C20" s="67" t="n">
        <x:f>(C10/$C$12-1)*100</x:f>
        <x:v>7.089344703231926</x:v>
      </x:c>
      <x:c r="D20" s="67" t="n">
        <x:f>(D10/$D$12-1)*100</x:f>
        <x:v>4.060758528159059</x:v>
      </x:c>
      <x:c r="E20" s="67" t="n">
        <x:f>G10-$G$12</x:f>
        <x:v>-4.545454999999997</x:v>
      </x:c>
      <x:c r="F20" s="67" t="n">
        <x:f>(H10/$H$12-1)*100</x:f>
        <x:v>-13.684847685391565</x:v>
      </x:c>
    </x:row>
    <x:row r="21" ht="15" hidden="0" customHeight="1">
      <x:c r="A21" s="67" t="n">
        <x:f>A11</x:f>
        <x:v>0.15</x:v>
      </x:c>
      <x:c r="B21" s="69" t="n">
        <x:f>B11-$B$12</x:f>
        <x:v>0.007732085</x:v>
      </x:c>
      <x:c r="C21" s="67" t="n">
        <x:f>(C11/$C$12-1)*100</x:f>
        <x:v>-1.9083843047391302</x:v>
      </x:c>
      <x:c r="D21" s="67" t="n">
        <x:f>(D11/$D$12-1)*100</x:f>
        <x:v>-1.9614879453623946</x:v>
      </x:c>
      <x:c r="E21" s="67" t="n">
        <x:f>G11-$G$12</x:f>
        <x:v>6.818182</x:v>
      </x:c>
      <x:c r="F21" s="67" t="n">
        <x:f>(H11/$H$12-1)*100</x:f>
        <x:v>0.45061078066308546</x:v>
      </x:c>
    </x:row>
    <x:row r="22" ht="15" hidden="0" customHeight="1">
      <x:c r="A22" s="68" t="n">
        <x:f>A12</x:f>
        <x:v>0.2</x:v>
      </x:c>
      <x:c r="B22" s="70" t="n">
        <x:f>B12-$B$12</x:f>
        <x:v>0</x:v>
      </x:c>
      <x:c r="C22" s="68" t="n">
        <x:f>(C12/$C$12-1)*100</x:f>
        <x:v>0</x:v>
      </x:c>
      <x:c r="D22" s="68" t="n">
        <x:f>(D12/$D$12-1)*100</x:f>
        <x:v>0</x:v>
      </x:c>
      <x:c r="E22" s="68" t="n">
        <x:f>G12-$G$12</x:f>
        <x:v>0</x:v>
      </x:c>
      <x:c r="F22" s="68" t="n">
        <x:f>(H12/$H$12-1)*100</x:f>
        <x:v>0</x:v>
      </x:c>
    </x:row>
    <x:row r="23" ht="15" hidden="0" customHeight="1">
      <x:c r="A23" s="67" t="n">
        <x:f>A13</x:f>
        <x:v>0.25</x:v>
      </x:c>
      <x:c r="B23" s="69" t="n">
        <x:f>B13-$B$12</x:f>
        <x:v>-0.056611120000000015</x:v>
      </x:c>
      <x:c r="C23" s="67" t="n">
        <x:f>(C13/$C$12-1)*100</x:f>
        <x:v>12.994756057934541</x:v>
      </x:c>
      <x:c r="D23" s="67" t="n">
        <x:f>(D13/$D$12-1)*100</x:f>
        <x:v>12.125786402818694</x:v>
      </x:c>
      <x:c r="E23" s="67" t="n">
        <x:f>G13-$G$12</x:f>
        <x:v>4.5454540000000065</x:v>
      </x:c>
      <x:c r="F23" s="67" t="n">
        <x:f>(H13/$H$12-1)*100</x:f>
        <x:v>21.652338313181918</x:v>
      </x:c>
    </x:row>
    <x:row r="24" ht="15" hidden="0" customHeight="1">
      <x:c r="A24" s="67" t="n">
        <x:f>A14</x:f>
        <x:v>0.3</x:v>
      </x:c>
      <x:c r="B24" s="69" t="n">
        <x:f>B14-$B$12</x:f>
        <x:v>-0.036281012</x:v>
      </x:c>
      <x:c r="C24" s="67" t="n">
        <x:f>(C14/$C$12-1)*100</x:f>
        <x:v>8.5073315559973</x:v>
      </x:c>
      <x:c r="D24" s="67" t="n">
        <x:f>(D14/$D$12-1)*100</x:f>
        <x:v>9.639959574915768</x:v>
      </x:c>
      <x:c r="E24" s="67" t="n">
        <x:f>G14-$G$12</x:f>
        <x:v>4.5454540000000065</x:v>
      </x:c>
      <x:c r="F24" s="67" t="n">
        <x:f>(H14/$H$12-1)*100</x:f>
        <x:v>8.247805509977946</x:v>
      </x:c>
    </x:row>
    <x:row r="25" ht="15" hidden="0" customHeight="1">
      <x:c r="A25" s="67" t="n">
        <x:f>A15</x:f>
        <x:v>0.4</x:v>
      </x:c>
      <x:c r="B25" s="69" t="n">
        <x:f>B15-$B$12</x:f>
        <x:v>-0.07643818899999999</x:v>
      </x:c>
      <x:c r="C25" s="67" t="n">
        <x:f>(C15/$C$12-1)*100</x:f>
        <x:v>17.205777829262047</x:v>
      </x:c>
      <x:c r="D25" s="67" t="n">
        <x:f>(D15/$D$12-1)*100</x:f>
        <x:v>15.197498078563143</x:v>
      </x:c>
      <x:c r="E25" s="67" t="n">
        <x:f>G15-$G$12</x:f>
        <x:v>2.2727270000000033</x:v>
      </x:c>
      <x:c r="F25" s="67" t="n">
        <x:f>(H15/$H$12-1)*100</x:f>
        <x:v>14.528313506412506</x:v>
      </x:c>
    </x:row>
    <x:row r="26" ht="15" hidden="0" customHeight="1">
      <x:c r="A26" s="67" t="n">
        <x:f>A16</x:f>
        <x:v>0.5</x:v>
      </x:c>
      <x:c r="B26" s="69" t="n">
        <x:f>B16-$B$12</x:f>
        <x:v>-0.028493809999999953</x:v>
      </x:c>
      <x:c r="C26" s="67" t="n">
        <x:f>(C16/$C$12-1)*100</x:f>
        <x:v>6.73851844399731</x:v>
      </x:c>
      <x:c r="D26" s="67" t="n">
        <x:f>(D16/$D$12-1)*100</x:f>
        <x:v>3.0815792026055</x:v>
      </x:c>
      <x:c r="E26" s="67" t="n">
        <x:f>G16-$G$12</x:f>
        <x:v>2.2727270000000033</x:v>
      </x:c>
      <x:c r="F26" s="67" t="n">
        <x:f>(H16/$H$12-1)*100</x:f>
        <x:v>2.843117722039046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aca5719e0b74fa9"/>
</x:worksheet>
</file>